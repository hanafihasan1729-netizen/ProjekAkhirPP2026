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B CORE\Semester 4\Pemrograman Paralel\Projek\Kasus 1\"/>
    </mc:Choice>
  </mc:AlternateContent>
  <xr:revisionPtr revIDLastSave="0" documentId="13_ncr:1_{CFE864C1-D8C2-45C3-8F57-476E73145BBE}" xr6:coauthVersionLast="47" xr6:coauthVersionMax="47" xr10:uidLastSave="{00000000-0000-0000-0000-000000000000}"/>
  <bookViews>
    <workbookView xWindow="-110" yWindow="-110" windowWidth="19420" windowHeight="11500" xr2:uid="{4059AC70-24D6-4A03-AB77-DEC71E5207FE}"/>
  </bookViews>
  <sheets>
    <sheet name="TOPIK 1" sheetId="1" r:id="rId1"/>
    <sheet name="TOPIK 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24" i="1"/>
  <c r="F15" i="1"/>
  <c r="F25" i="1" s="1"/>
  <c r="F16" i="1"/>
  <c r="F26" i="1" s="1"/>
  <c r="F24" i="4"/>
  <c r="F25" i="4"/>
  <c r="F26" i="4"/>
  <c r="F27" i="4"/>
  <c r="F28" i="4"/>
  <c r="F23" i="4"/>
  <c r="C24" i="4"/>
  <c r="C25" i="4"/>
  <c r="C26" i="4"/>
  <c r="C27" i="4"/>
  <c r="C28" i="4"/>
  <c r="C23" i="4"/>
  <c r="C13" i="4"/>
  <c r="F13" i="4"/>
  <c r="C14" i="4"/>
  <c r="F14" i="4"/>
  <c r="C15" i="4"/>
  <c r="F15" i="4"/>
  <c r="C16" i="4"/>
  <c r="F16" i="4"/>
  <c r="C17" i="4"/>
  <c r="F17" i="4"/>
  <c r="C18" i="4"/>
  <c r="F18" i="4"/>
  <c r="F19" i="1"/>
  <c r="F29" i="1" s="1"/>
  <c r="F18" i="1"/>
  <c r="F28" i="1" s="1"/>
  <c r="F17" i="1"/>
  <c r="F27" i="1" s="1"/>
</calcChain>
</file>

<file path=xl/sharedStrings.xml><?xml version="1.0" encoding="utf-8"?>
<sst xmlns="http://schemas.openxmlformats.org/spreadsheetml/2006/main" count="30" uniqueCount="8">
  <si>
    <t>Waktu Komputasi</t>
  </si>
  <si>
    <t>Jumlah Thread</t>
  </si>
  <si>
    <t>SpeedUp</t>
  </si>
  <si>
    <t>Serial</t>
  </si>
  <si>
    <t>Speed Up</t>
  </si>
  <si>
    <t>Efisiensi</t>
  </si>
  <si>
    <t>Jumlah thread</t>
  </si>
  <si>
    <t>Efisiensi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</si>
</sst>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Skalabilitas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'TOPIK 1'!$F$13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'TOPIK 1'!$E$14:$E$19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'TOPIK 1'!$F$14:$F$19</c:f>
              <c:numCache>
                <c:formatCode>General</c:formatCode>
                <c:ptCount val="6"/>
                <c:pt idx="0">
                  <c:v>1.9022956874388963</c:v>
                </c:pt>
                <c:pt idx="1">
                  <c:v>2.7092826569026869</c:v>
                </c:pt>
                <c:pt idx="2">
                  <c:v>3.3324262607040911</c:v>
                </c:pt>
                <c:pt idx="3">
                  <c:v>4.4840986684875377</c:v>
                </c:pt>
                <c:pt idx="4">
                  <c:v>4.8030444322545254</c:v>
                </c:pt>
                <c:pt idx="5">
                  <c:v>4.7492044838184775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D0-48EE-B708-A8CACDD38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03327"/>
        <c:axId val="94793247"/>
      </c:scatterChart>
      <c:valAx>
        <c:axId val="9480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93247"/>
        <c:crosses val="autoZero"/>
        <c:crossBetween val="midCat"/>
      </c:valAx>
      <c:valAx>
        <c:axId val="9479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0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Efisiensi</a:t>
            </a:r>
            <a:r>
              <a:rPr lang="en-US" baseline="0"/>
              <a:t> Paralel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'TOPIK 1'!$E$24:$E$29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'TOPIK 1'!$F$24:$F$29</c:f>
              <c:numCache>
                <c:formatCode>General</c:formatCode>
                <c:ptCount val="6"/>
                <c:pt idx="0">
                  <c:v>95.114784371944822</c:v>
                </c:pt>
                <c:pt idx="1">
                  <c:v>67.732066422567172</c:v>
                </c:pt>
                <c:pt idx="2">
                  <c:v>55.540437678401524</c:v>
                </c:pt>
                <c:pt idx="3">
                  <c:v>56.051233356094222</c:v>
                </c:pt>
                <c:pt idx="4">
                  <c:v>48.03044432254525</c:v>
                </c:pt>
                <c:pt idx="5">
                  <c:v>39.576704031820647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FA-4A16-91BA-AB22EB437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611087"/>
        <c:axId val="1474370015"/>
      </c:scatterChart>
      <c:valAx>
        <c:axId val="123661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370015"/>
        <c:crosses val="autoZero"/>
        <c:crossBetween val="midCat"/>
      </c:valAx>
      <c:valAx>
        <c:axId val="147437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61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SKALABILITAS</a:t>
            </a:r>
            <a:r>
              <a:rPr lang="en-US" baseline="0"/>
              <a:t> WAKTU KOMPUTASI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'TOPIK 2'!$E$13:$E$18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'TOPIK 2'!$F$13:$F$18</c:f>
              <c:numCache>
                <c:formatCode>General</c:formatCode>
                <c:ptCount val="6"/>
                <c:pt idx="0">
                  <c:v>3.6962831625952193</c:v>
                </c:pt>
                <c:pt idx="1">
                  <c:v>3.9729462656166499</c:v>
                </c:pt>
                <c:pt idx="2">
                  <c:v>3.0662894853576348</c:v>
                </c:pt>
                <c:pt idx="3">
                  <c:v>3.1593511450381682</c:v>
                </c:pt>
                <c:pt idx="4">
                  <c:v>2.768141804309491</c:v>
                </c:pt>
                <c:pt idx="5">
                  <c:v>2.5916700103269772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6C-405E-AC42-6BDB904C7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41727"/>
        <c:axId val="94831647"/>
      </c:scatterChart>
      <c:valAx>
        <c:axId val="9484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31647"/>
        <c:crosses val="autoZero"/>
        <c:crossBetween val="midCat"/>
      </c:valAx>
      <c:valAx>
        <c:axId val="9483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41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SKALABILITAS</a:t>
            </a:r>
            <a:r>
              <a:rPr lang="en-US" baseline="0"/>
              <a:t> WAKTU FISIS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'TOPIK 2'!$B$13:$B$18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'TOPIK 2'!$C$13:$C$18</c:f>
              <c:numCache>
                <c:formatCode>General</c:formatCode>
                <c:ptCount val="6"/>
                <c:pt idx="0">
                  <c:v>16.174819857334249</c:v>
                </c:pt>
                <c:pt idx="1">
                  <c:v>23.036460213501108</c:v>
                </c:pt>
                <c:pt idx="2">
                  <c:v>28.334919124643193</c:v>
                </c:pt>
                <c:pt idx="3">
                  <c:v>38.127347217480363</c:v>
                </c:pt>
                <c:pt idx="4">
                  <c:v>40.83927591881514</c:v>
                </c:pt>
                <c:pt idx="5">
                  <c:v>40.381486168866388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06-4F62-B156-FAFEAF1D1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41135"/>
        <c:axId val="192640655"/>
      </c:scatterChart>
      <c:valAx>
        <c:axId val="19264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0655"/>
        <c:crosses val="autoZero"/>
        <c:crossBetween val="midCat"/>
      </c:valAx>
      <c:valAx>
        <c:axId val="19264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4</xdr:row>
      <xdr:rowOff>26670</xdr:rowOff>
    </xdr:from>
    <xdr:to>
      <xdr:col>13</xdr:col>
      <xdr:colOff>594360</xdr:colOff>
      <xdr:row>19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A4AC9D-5FB4-51A6-555B-BD3261C91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327660</xdr:colOff>
      <xdr:row>19</xdr:row>
      <xdr:rowOff>140970</xdr:rowOff>
    </xdr:from>
    <xdr:to>
      <xdr:col>14</xdr:col>
      <xdr:colOff>22860</xdr:colOff>
      <xdr:row>34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55EBF2-C000-5CA7-9B2D-13B885AC8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220980</xdr:colOff>
      <xdr:row>4</xdr:row>
      <xdr:rowOff>110490</xdr:rowOff>
    </xdr:from>
    <xdr:to>
      <xdr:col>14</xdr:col>
      <xdr:colOff>525780</xdr:colOff>
      <xdr:row>19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978629-3027-47AB-D55C-0F5354C76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175260</xdr:colOff>
      <xdr:row>20</xdr:row>
      <xdr:rowOff>64770</xdr:rowOff>
    </xdr:from>
    <xdr:to>
      <xdr:col>14</xdr:col>
      <xdr:colOff>480060</xdr:colOff>
      <xdr:row>35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4A02C1-D8BF-B415-ECE2-FFB70CDE3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D2FA-D5DD-4F7C-B53C-651F59DF0A50}">
  <sheetPr>
    <pageSetUpPr fitToPage="1"/>
  </sheetPr>
  <dimension ref="B3:F29"/>
  <sheetViews>
    <sheetView tabSelected="1" workbookViewId="0">
      <selection activeCell="P20" sqref="P20"/>
    </sheetView>
  </sheetViews>
  <sheetFormatPr defaultRowHeight="14.5" x14ac:dyDescent="0.35"/>
  <cols>
    <col min="2" max="2" width="13" customWidth="1"/>
    <col min="3" max="3" width="15.453125" customWidth="1"/>
    <col min="5" max="5" width="12.81640625" customWidth="1"/>
    <col min="6" max="6" width="15.08984375" customWidth="1"/>
    <col min="15" max="15" width="11.81640625" customWidth="1"/>
    <col min="16" max="16" width="16.1796875" customWidth="1"/>
  </cols>
  <sheetData>
    <row r="3" spans="2:6" x14ac:dyDescent="0.35">
      <c r="B3" s="1"/>
      <c r="C3" s="1"/>
      <c r="E3" t="s">
        <v>3</v>
      </c>
      <c r="F3">
        <v>5.2535699999999998E-2</v>
      </c>
    </row>
    <row r="4" spans="2:6" x14ac:dyDescent="0.35">
      <c r="E4" t="s">
        <v>1</v>
      </c>
      <c r="F4" t="s">
        <v>0</v>
      </c>
    </row>
    <row r="5" spans="2:6" x14ac:dyDescent="0.35">
      <c r="E5">
        <v>2</v>
      </c>
      <c r="F5">
        <v>2.7616999999999999E-2</v>
      </c>
    </row>
    <row r="6" spans="2:6" x14ac:dyDescent="0.35">
      <c r="E6">
        <v>4</v>
      </c>
      <c r="F6">
        <v>1.9390999999999999E-2</v>
      </c>
    </row>
    <row r="7" spans="2:6" x14ac:dyDescent="0.35">
      <c r="E7">
        <v>6</v>
      </c>
      <c r="F7">
        <v>1.5765000000000001E-2</v>
      </c>
    </row>
    <row r="8" spans="2:6" x14ac:dyDescent="0.35">
      <c r="E8">
        <v>8</v>
      </c>
      <c r="F8">
        <v>1.1716000000000001E-2</v>
      </c>
    </row>
    <row r="9" spans="2:6" x14ac:dyDescent="0.35">
      <c r="E9">
        <v>10</v>
      </c>
      <c r="F9">
        <v>1.0938E-2</v>
      </c>
    </row>
    <row r="10" spans="2:6" x14ac:dyDescent="0.35">
      <c r="E10">
        <v>12</v>
      </c>
      <c r="F10">
        <v>1.1062000000000001E-2</v>
      </c>
    </row>
    <row r="11" spans="2:6" x14ac:dyDescent="0.35">
      <c r="E11" s="2" t="s">
        <v>0</v>
      </c>
      <c r="F11" s="2"/>
    </row>
    <row r="13" spans="2:6" x14ac:dyDescent="0.35">
      <c r="E13" t="s">
        <v>1</v>
      </c>
      <c r="F13" t="s">
        <v>2</v>
      </c>
    </row>
    <row r="14" spans="2:6" x14ac:dyDescent="0.35">
      <c r="E14">
        <v>2</v>
      </c>
      <c r="F14">
        <f>F3/F5</f>
        <v>1.9022956874388963</v>
      </c>
    </row>
    <row r="15" spans="2:6" x14ac:dyDescent="0.35">
      <c r="E15">
        <v>4</v>
      </c>
      <c r="F15">
        <f>F3/F6</f>
        <v>2.7092826569026869</v>
      </c>
    </row>
    <row r="16" spans="2:6" x14ac:dyDescent="0.35">
      <c r="E16">
        <v>6</v>
      </c>
      <c r="F16">
        <f>F3/F7</f>
        <v>3.3324262607040911</v>
      </c>
    </row>
    <row r="17" spans="5:6" x14ac:dyDescent="0.35">
      <c r="E17">
        <v>8</v>
      </c>
      <c r="F17">
        <f>F3/F8</f>
        <v>4.4840986684875377</v>
      </c>
    </row>
    <row r="18" spans="5:6" x14ac:dyDescent="0.35">
      <c r="E18">
        <v>10</v>
      </c>
      <c r="F18">
        <f>F3/F9</f>
        <v>4.8030444322545254</v>
      </c>
    </row>
    <row r="19" spans="5:6" x14ac:dyDescent="0.35">
      <c r="E19">
        <v>12</v>
      </c>
      <c r="F19">
        <f>F3/F10</f>
        <v>4.7492044838184775</v>
      </c>
    </row>
    <row r="20" spans="5:6" x14ac:dyDescent="0.35">
      <c r="E20" s="2" t="s">
        <v>4</v>
      </c>
      <c r="F20" s="2"/>
    </row>
    <row r="22" spans="5:6" x14ac:dyDescent="0.35">
      <c r="E22" s="2" t="s">
        <v>5</v>
      </c>
      <c r="F22" s="2"/>
    </row>
    <row r="23" spans="5:6" x14ac:dyDescent="0.35">
      <c r="E23" t="s">
        <v>1</v>
      </c>
      <c r="F23" t="s">
        <v>7</v>
      </c>
    </row>
    <row r="24" spans="5:6" x14ac:dyDescent="0.35">
      <c r="E24">
        <v>2</v>
      </c>
      <c r="F24">
        <f>(F14/E24)*100</f>
        <v>95.114784371944822</v>
      </c>
    </row>
    <row r="25" spans="5:6" x14ac:dyDescent="0.35">
      <c r="E25">
        <v>4</v>
      </c>
      <c r="F25">
        <f t="shared" ref="F25:F29" si="0">(F15/E25)*100</f>
        <v>67.732066422567172</v>
      </c>
    </row>
    <row r="26" spans="5:6" x14ac:dyDescent="0.35">
      <c r="E26">
        <v>6</v>
      </c>
      <c r="F26">
        <f t="shared" si="0"/>
        <v>55.540437678401524</v>
      </c>
    </row>
    <row r="27" spans="5:6" x14ac:dyDescent="0.35">
      <c r="E27">
        <v>8</v>
      </c>
      <c r="F27">
        <f t="shared" si="0"/>
        <v>56.051233356094222</v>
      </c>
    </row>
    <row r="28" spans="5:6" x14ac:dyDescent="0.35">
      <c r="E28">
        <v>10</v>
      </c>
      <c r="F28">
        <f t="shared" si="0"/>
        <v>48.03044432254525</v>
      </c>
    </row>
    <row r="29" spans="5:6" x14ac:dyDescent="0.35">
      <c r="E29">
        <v>12</v>
      </c>
      <c r="F29">
        <f t="shared" si="0"/>
        <v>39.576704031820647</v>
      </c>
    </row>
  </sheetData>
  <mergeCells count="3">
    <mergeCell ref="E11:F11"/>
    <mergeCell ref="E20:F20"/>
    <mergeCell ref="E22:F22"/>
  </mergeCells>
  <pageMargins left="0.25" right="0.25" top="0.75" bottom="0.75" header="0.3" footer="0.3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F8DF-F6D4-4C56-A241-49537A2F6EDB}">
  <dimension ref="B2:F28"/>
  <sheetViews>
    <sheetView workbookViewId="0">
      <selection activeCell="E28" sqref="E28"/>
    </sheetView>
  </sheetViews>
  <sheetFormatPr defaultRowHeight="14.5" x14ac:dyDescent="0.35"/>
  <cols>
    <col min="2" max="2" width="12.54296875" bestFit="1" customWidth="1"/>
    <col min="3" max="3" width="15" bestFit="1" customWidth="1"/>
    <col min="5" max="5" width="12.54296875" bestFit="1" customWidth="1"/>
    <col min="6" max="6" width="15" bestFit="1" customWidth="1"/>
  </cols>
  <sheetData>
    <row r="2" spans="2:6" x14ac:dyDescent="0.35">
      <c r="B2" t="s">
        <v>3</v>
      </c>
      <c r="C2">
        <v>0.44669999999999999</v>
      </c>
      <c r="E2" t="s">
        <v>3</v>
      </c>
      <c r="F2">
        <v>394.00900000000001</v>
      </c>
    </row>
    <row r="3" spans="2:6" x14ac:dyDescent="0.35">
      <c r="B3" t="s">
        <v>1</v>
      </c>
      <c r="C3" t="s">
        <v>0</v>
      </c>
      <c r="E3" t="s">
        <v>1</v>
      </c>
      <c r="F3" t="s">
        <v>0</v>
      </c>
    </row>
    <row r="4" spans="2:6" x14ac:dyDescent="0.35">
      <c r="B4">
        <v>2</v>
      </c>
      <c r="C4">
        <v>2.7616999999999999E-2</v>
      </c>
      <c r="E4">
        <v>2</v>
      </c>
      <c r="F4">
        <v>106.596</v>
      </c>
    </row>
    <row r="5" spans="2:6" x14ac:dyDescent="0.35">
      <c r="B5">
        <v>4</v>
      </c>
      <c r="C5">
        <v>1.9390999999999999E-2</v>
      </c>
      <c r="E5">
        <v>4</v>
      </c>
      <c r="F5">
        <v>99.173000000000002</v>
      </c>
    </row>
    <row r="6" spans="2:6" x14ac:dyDescent="0.35">
      <c r="B6">
        <v>6</v>
      </c>
      <c r="C6">
        <v>1.5765000000000001E-2</v>
      </c>
      <c r="E6">
        <v>6</v>
      </c>
      <c r="F6">
        <v>128.49700000000001</v>
      </c>
    </row>
    <row r="7" spans="2:6" x14ac:dyDescent="0.35">
      <c r="B7">
        <v>8</v>
      </c>
      <c r="C7">
        <v>1.1716000000000001E-2</v>
      </c>
      <c r="E7">
        <v>8</v>
      </c>
      <c r="F7">
        <v>124.712</v>
      </c>
    </row>
    <row r="8" spans="2:6" x14ac:dyDescent="0.35">
      <c r="B8">
        <v>10</v>
      </c>
      <c r="C8">
        <v>1.0938E-2</v>
      </c>
      <c r="E8">
        <v>10</v>
      </c>
      <c r="F8">
        <v>142.33699999999999</v>
      </c>
    </row>
    <row r="9" spans="2:6" x14ac:dyDescent="0.35">
      <c r="B9">
        <v>12</v>
      </c>
      <c r="C9">
        <v>1.1062000000000001E-2</v>
      </c>
      <c r="E9">
        <v>12</v>
      </c>
      <c r="F9">
        <v>152.029</v>
      </c>
    </row>
    <row r="10" spans="2:6" x14ac:dyDescent="0.35">
      <c r="B10" s="2" t="s">
        <v>0</v>
      </c>
      <c r="C10" s="2"/>
      <c r="E10" s="2" t="s">
        <v>0</v>
      </c>
      <c r="F10" s="2"/>
    </row>
    <row r="12" spans="2:6" x14ac:dyDescent="0.35">
      <c r="B12" t="s">
        <v>1</v>
      </c>
      <c r="C12" t="s">
        <v>2</v>
      </c>
      <c r="E12" t="s">
        <v>1</v>
      </c>
      <c r="F12" t="s">
        <v>2</v>
      </c>
    </row>
    <row r="13" spans="2:6" x14ac:dyDescent="0.35">
      <c r="B13">
        <v>2</v>
      </c>
      <c r="C13">
        <f>C2/C4</f>
        <v>16.174819857334249</v>
      </c>
      <c r="E13">
        <v>2</v>
      </c>
      <c r="F13">
        <f>F2/F4</f>
        <v>3.6962831625952193</v>
      </c>
    </row>
    <row r="14" spans="2:6" x14ac:dyDescent="0.35">
      <c r="B14">
        <v>4</v>
      </c>
      <c r="C14">
        <f>C2/C5</f>
        <v>23.036460213501108</v>
      </c>
      <c r="E14">
        <v>4</v>
      </c>
      <c r="F14">
        <f>F2/F5</f>
        <v>3.9729462656166499</v>
      </c>
    </row>
    <row r="15" spans="2:6" x14ac:dyDescent="0.35">
      <c r="B15">
        <v>6</v>
      </c>
      <c r="C15">
        <f>C2/C6</f>
        <v>28.334919124643193</v>
      </c>
      <c r="E15">
        <v>6</v>
      </c>
      <c r="F15">
        <f>F2/F6</f>
        <v>3.0662894853576348</v>
      </c>
    </row>
    <row r="16" spans="2:6" x14ac:dyDescent="0.35">
      <c r="B16">
        <v>8</v>
      </c>
      <c r="C16">
        <f>C2/C7</f>
        <v>38.127347217480363</v>
      </c>
      <c r="E16">
        <v>8</v>
      </c>
      <c r="F16">
        <f>F2/F7</f>
        <v>3.1593511450381682</v>
      </c>
    </row>
    <row r="17" spans="2:6" x14ac:dyDescent="0.35">
      <c r="B17">
        <v>10</v>
      </c>
      <c r="C17">
        <f>C2/C8</f>
        <v>40.83927591881514</v>
      </c>
      <c r="E17">
        <v>10</v>
      </c>
      <c r="F17">
        <f>F2/F8</f>
        <v>2.768141804309491</v>
      </c>
    </row>
    <row r="18" spans="2:6" x14ac:dyDescent="0.35">
      <c r="B18">
        <v>12</v>
      </c>
      <c r="C18">
        <f>C2/C9</f>
        <v>40.381486168866388</v>
      </c>
      <c r="E18">
        <v>12</v>
      </c>
      <c r="F18">
        <f>F2/F9</f>
        <v>2.5916700103269772</v>
      </c>
    </row>
    <row r="19" spans="2:6" x14ac:dyDescent="0.35">
      <c r="B19" s="2" t="s">
        <v>4</v>
      </c>
      <c r="C19" s="2"/>
      <c r="E19" s="2" t="s">
        <v>4</v>
      </c>
      <c r="F19" s="2"/>
    </row>
    <row r="21" spans="2:6" x14ac:dyDescent="0.35">
      <c r="B21" s="2" t="s">
        <v>5</v>
      </c>
      <c r="C21" s="2"/>
      <c r="E21" s="2" t="s">
        <v>5</v>
      </c>
      <c r="F21" s="2"/>
    </row>
    <row r="22" spans="2:6" x14ac:dyDescent="0.35">
      <c r="B22" t="s">
        <v>6</v>
      </c>
      <c r="C22" t="s">
        <v>7</v>
      </c>
      <c r="E22" t="s">
        <v>6</v>
      </c>
      <c r="F22" t="s">
        <v>5</v>
      </c>
    </row>
    <row r="23" spans="2:6" x14ac:dyDescent="0.35">
      <c r="B23">
        <v>2</v>
      </c>
      <c r="C23">
        <f>(C13/B23)*100</f>
        <v>808.74099286671242</v>
      </c>
      <c r="E23">
        <v>2</v>
      </c>
      <c r="F23">
        <f>(F13/E13)*100</f>
        <v>184.81415812976095</v>
      </c>
    </row>
    <row r="24" spans="2:6" x14ac:dyDescent="0.35">
      <c r="B24">
        <v>4</v>
      </c>
      <c r="C24">
        <f t="shared" ref="C24:C28" si="0">(C14/B24)*100</f>
        <v>575.91150533752773</v>
      </c>
      <c r="E24">
        <v>4</v>
      </c>
      <c r="F24">
        <f t="shared" ref="F24:F28" si="1">(F14/E14)*100</f>
        <v>99.323656640416246</v>
      </c>
    </row>
    <row r="25" spans="2:6" x14ac:dyDescent="0.35">
      <c r="B25">
        <v>6</v>
      </c>
      <c r="C25">
        <f t="shared" si="0"/>
        <v>472.24865207738657</v>
      </c>
      <c r="E25">
        <v>6</v>
      </c>
      <c r="F25">
        <f t="shared" si="1"/>
        <v>51.104824755960578</v>
      </c>
    </row>
    <row r="26" spans="2:6" x14ac:dyDescent="0.35">
      <c r="B26">
        <v>8</v>
      </c>
      <c r="C26">
        <f t="shared" si="0"/>
        <v>476.59184021850456</v>
      </c>
      <c r="E26">
        <v>8</v>
      </c>
      <c r="F26">
        <f t="shared" si="1"/>
        <v>39.491889312977101</v>
      </c>
    </row>
    <row r="27" spans="2:6" x14ac:dyDescent="0.35">
      <c r="B27">
        <v>10</v>
      </c>
      <c r="C27">
        <f t="shared" si="0"/>
        <v>408.39275918815139</v>
      </c>
      <c r="E27">
        <v>10</v>
      </c>
      <c r="F27">
        <f t="shared" si="1"/>
        <v>27.681418043094908</v>
      </c>
    </row>
    <row r="28" spans="2:6" x14ac:dyDescent="0.35">
      <c r="B28">
        <v>12</v>
      </c>
      <c r="C28">
        <f t="shared" si="0"/>
        <v>336.51238474055327</v>
      </c>
      <c r="E28">
        <v>12</v>
      </c>
      <c r="F28">
        <f t="shared" si="1"/>
        <v>21.597250086058143</v>
      </c>
    </row>
  </sheetData>
  <mergeCells count="6">
    <mergeCell ref="B10:C10"/>
    <mergeCell ref="E10:F10"/>
    <mergeCell ref="B19:C19"/>
    <mergeCell ref="E19:F19"/>
    <mergeCell ref="E21:F21"/>
    <mergeCell ref="B21:C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TOPIK 1</vt:lpstr>
      <vt:lpstr>TOPIK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 K16x</dc:creator>
  <cp:lastModifiedBy>Hanafi Hasan</cp:lastModifiedBy>
  <cp:lastPrinted>2026-06-10T15:48:15Z</cp:lastPrinted>
  <dcterms:created xsi:type="dcterms:W3CDTF">2026-06-08T12:12:57Z</dcterms:created>
  <dcterms:modified xsi:type="dcterms:W3CDTF">2026-06-10T15:48:18Z</dcterms:modified>
</cp:coreProperties>
</file>